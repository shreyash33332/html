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hrav\OneDrive\Desktop\shreyash girade\"/>
    </mc:Choice>
  </mc:AlternateContent>
  <xr:revisionPtr revIDLastSave="0" documentId="13_ncr:1_{8C5C5C34-FC17-4EB1-8921-DFAC5169E1BB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Sheet1" sheetId="1" r:id="rId1"/>
    <sheet name="Sheet2" sheetId="2" r:id="rId2"/>
  </sheets>
  <definedNames>
    <definedName name="_xlnm._FilterDatabase" localSheetId="0" hidden="1">Sheet1!$B$1:$M$22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5" i="2" l="1"/>
  <c r="D13" i="2"/>
  <c r="D14" i="2"/>
  <c r="D15" i="2"/>
  <c r="D16" i="2"/>
  <c r="D17" i="2"/>
  <c r="D18" i="2"/>
  <c r="C3" i="2"/>
  <c r="C4" i="2"/>
  <c r="C8" i="2"/>
  <c r="C9" i="2"/>
  <c r="C10" i="2"/>
  <c r="C11" i="2"/>
  <c r="C12" i="2"/>
  <c r="C13" i="2"/>
  <c r="C14" i="2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K2" i="1"/>
  <c r="D2" i="2" s="1"/>
  <c r="J2" i="1"/>
  <c r="L2" i="1" s="1"/>
  <c r="I2" i="1"/>
  <c r="C2" i="2" s="1"/>
  <c r="N18" i="1"/>
  <c r="K12" i="1"/>
  <c r="D12" i="2" s="1"/>
  <c r="K19" i="1"/>
  <c r="D19" i="2" s="1"/>
  <c r="K20" i="1"/>
  <c r="D20" i="2" s="1"/>
  <c r="K21" i="1"/>
  <c r="D21" i="2" s="1"/>
  <c r="K13" i="1"/>
  <c r="K14" i="1"/>
  <c r="K7" i="1"/>
  <c r="D7" i="2" s="1"/>
  <c r="K17" i="1"/>
  <c r="K16" i="1"/>
  <c r="K5" i="1"/>
  <c r="K6" i="1"/>
  <c r="D6" i="2" s="1"/>
  <c r="K10" i="1"/>
  <c r="D10" i="2" s="1"/>
  <c r="K11" i="1"/>
  <c r="D11" i="2" s="1"/>
  <c r="K4" i="1"/>
  <c r="D4" i="2" s="1"/>
  <c r="K3" i="1"/>
  <c r="D3" i="2" s="1"/>
  <c r="K9" i="1"/>
  <c r="D9" i="2" s="1"/>
  <c r="K8" i="1"/>
  <c r="D8" i="2" s="1"/>
  <c r="K18" i="1"/>
  <c r="K15" i="1"/>
  <c r="J12" i="1"/>
  <c r="L12" i="1" s="1"/>
  <c r="J19" i="1"/>
  <c r="L19" i="1" s="1"/>
  <c r="J20" i="1"/>
  <c r="L20" i="1" s="1"/>
  <c r="J21" i="1"/>
  <c r="L21" i="1" s="1"/>
  <c r="J13" i="1"/>
  <c r="L13" i="1" s="1"/>
  <c r="J14" i="1"/>
  <c r="L14" i="1" s="1"/>
  <c r="J7" i="1"/>
  <c r="L7" i="1" s="1"/>
  <c r="J17" i="1"/>
  <c r="N17" i="1" s="1"/>
  <c r="J16" i="1"/>
  <c r="N16" i="1" s="1"/>
  <c r="J5" i="1"/>
  <c r="N5" i="1" s="1"/>
  <c r="J6" i="1"/>
  <c r="N6" i="1" s="1"/>
  <c r="J10" i="1"/>
  <c r="L10" i="1" s="1"/>
  <c r="J11" i="1"/>
  <c r="L11" i="1" s="1"/>
  <c r="J4" i="1"/>
  <c r="L4" i="1" s="1"/>
  <c r="J3" i="1"/>
  <c r="L3" i="1" s="1"/>
  <c r="J9" i="1"/>
  <c r="L9" i="1" s="1"/>
  <c r="J8" i="1"/>
  <c r="L8" i="1" s="1"/>
  <c r="J18" i="1"/>
  <c r="L18" i="1" s="1"/>
  <c r="J15" i="1"/>
  <c r="L15" i="1" s="1"/>
  <c r="I12" i="1"/>
  <c r="I19" i="1"/>
  <c r="C19" i="2" s="1"/>
  <c r="I20" i="1"/>
  <c r="C20" i="2" s="1"/>
  <c r="I21" i="1"/>
  <c r="C21" i="2" s="1"/>
  <c r="I13" i="1"/>
  <c r="I14" i="1"/>
  <c r="I7" i="1"/>
  <c r="C7" i="2" s="1"/>
  <c r="I17" i="1"/>
  <c r="C17" i="2" s="1"/>
  <c r="I16" i="1"/>
  <c r="C16" i="2" s="1"/>
  <c r="I5" i="1"/>
  <c r="C5" i="2" s="1"/>
  <c r="I6" i="1"/>
  <c r="C6" i="2" s="1"/>
  <c r="I10" i="1"/>
  <c r="I11" i="1"/>
  <c r="I4" i="1"/>
  <c r="I3" i="1"/>
  <c r="I9" i="1"/>
  <c r="I8" i="1"/>
  <c r="I18" i="1"/>
  <c r="C18" i="2" s="1"/>
  <c r="I15" i="1"/>
  <c r="C15" i="2" s="1"/>
  <c r="N11" i="1" l="1"/>
  <c r="N21" i="1"/>
  <c r="N20" i="1"/>
  <c r="N19" i="1"/>
  <c r="N13" i="1"/>
  <c r="N7" i="1"/>
  <c r="L16" i="1"/>
  <c r="N14" i="1"/>
  <c r="N10" i="1"/>
  <c r="L6" i="1"/>
  <c r="L5" i="1"/>
  <c r="L17" i="1"/>
  <c r="N2" i="1"/>
  <c r="N12" i="1"/>
  <c r="N9" i="1"/>
  <c r="N8" i="1"/>
  <c r="N4" i="1"/>
  <c r="N3" i="1"/>
  <c r="N15" i="1"/>
  <c r="L22" i="1" l="1"/>
</calcChain>
</file>

<file path=xl/sharedStrings.xml><?xml version="1.0" encoding="utf-8"?>
<sst xmlns="http://schemas.openxmlformats.org/spreadsheetml/2006/main" count="59" uniqueCount="39">
  <si>
    <t>Name</t>
  </si>
  <si>
    <t>PRN</t>
  </si>
  <si>
    <t>Math</t>
  </si>
  <si>
    <t>Science</t>
  </si>
  <si>
    <t>English</t>
  </si>
  <si>
    <t>History</t>
  </si>
  <si>
    <t>Computer</t>
  </si>
  <si>
    <t>Student1</t>
  </si>
  <si>
    <t>Student2</t>
  </si>
  <si>
    <t>Student3</t>
  </si>
  <si>
    <t>Student4</t>
  </si>
  <si>
    <t>Student5</t>
  </si>
  <si>
    <t>Student6</t>
  </si>
  <si>
    <t>Student7</t>
  </si>
  <si>
    <t>Student8</t>
  </si>
  <si>
    <t>Student9</t>
  </si>
  <si>
    <t>Student10</t>
  </si>
  <si>
    <t>Student11</t>
  </si>
  <si>
    <t>Student12</t>
  </si>
  <si>
    <t>Student13</t>
  </si>
  <si>
    <t>Student14</t>
  </si>
  <si>
    <t>Student15</t>
  </si>
  <si>
    <t>Student16</t>
  </si>
  <si>
    <t>Student17</t>
  </si>
  <si>
    <t>Student18</t>
  </si>
  <si>
    <t>Student19</t>
  </si>
  <si>
    <t>Student20</t>
  </si>
  <si>
    <t>TOTAL</t>
  </si>
  <si>
    <t>PERCENTAGE</t>
  </si>
  <si>
    <t>RESULTS</t>
  </si>
  <si>
    <t>DISTINCTION</t>
  </si>
  <si>
    <t>TINKER</t>
  </si>
  <si>
    <t>A</t>
  </si>
  <si>
    <t>B</t>
  </si>
  <si>
    <t>C</t>
  </si>
  <si>
    <t>TOPPER LIST</t>
  </si>
  <si>
    <t>CLASS</t>
  </si>
  <si>
    <t>NAME</t>
  </si>
  <si>
    <t>RESULT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</si>
</sst>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1" fillId="2" borderId="2" xfId="0" applyFont="1" applyFill="1" applyBorder="1" applyAlignment="1">
      <alignment horizontal="center" vertical="top"/>
    </xf>
    <xf numFmtId="0" fontId="1" fillId="2" borderId="0" xfId="0" applyFont="1" applyFill="1"/>
  </cellXfs>
  <cellStyles count="1">
    <cellStyle name="Normal" xfId="0" builtinId="0"/>
  </cellStyles>
  <dxfs count="9">
    <dxf>
      <font>
        <color rgb="FF9C0006"/>
      </font>
    </dxf>
    <dxf>
      <fill>
        <patternFill>
          <bgColor theme="5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2"/>
  <sheetViews>
    <sheetView zoomScale="108" workbookViewId="0">
      <selection activeCell="P12" sqref="P12"/>
    </sheetView>
  </sheetViews>
  <sheetFormatPr defaultRowHeight="14.4" x14ac:dyDescent="0.3"/>
  <cols>
    <col min="1" max="1" width="13.33203125" customWidth="1"/>
    <col min="2" max="2" width="11.6640625" customWidth="1"/>
    <col min="10" max="10" width="13.33203125" customWidth="1"/>
    <col min="12" max="12" width="19.44140625" customWidth="1"/>
    <col min="13" max="13" width="14.5546875" customWidth="1"/>
    <col min="14" max="14" width="24.44140625" bestFit="1" customWidth="1"/>
  </cols>
  <sheetData>
    <row r="1" spans="1:14" x14ac:dyDescent="0.3">
      <c r="A1" s="1" t="s">
        <v>1</v>
      </c>
      <c r="B1" s="1" t="s">
        <v>0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31</v>
      </c>
      <c r="I1" s="2" t="s">
        <v>27</v>
      </c>
      <c r="J1" s="2" t="s">
        <v>28</v>
      </c>
      <c r="K1" s="2" t="s">
        <v>29</v>
      </c>
      <c r="L1" s="2" t="s">
        <v>30</v>
      </c>
      <c r="M1" s="2" t="s">
        <v>35</v>
      </c>
      <c r="N1" s="2" t="s">
        <v>36</v>
      </c>
    </row>
    <row r="2" spans="1:14" x14ac:dyDescent="0.3">
      <c r="A2">
        <v>25070521161</v>
      </c>
      <c r="B2" t="s">
        <v>7</v>
      </c>
      <c r="C2">
        <v>74</v>
      </c>
      <c r="D2">
        <v>93</v>
      </c>
      <c r="E2">
        <v>94</v>
      </c>
      <c r="F2">
        <v>99</v>
      </c>
      <c r="G2">
        <v>99</v>
      </c>
      <c r="H2" t="s">
        <v>32</v>
      </c>
      <c r="I2">
        <f>SUM(C2:G2)</f>
        <v>459</v>
      </c>
      <c r="J2">
        <f>AVERAGE(C2:G2)</f>
        <v>91.8</v>
      </c>
      <c r="K2" t="str">
        <f>IF(AND(C2&gt;=50,D2&gt;=50,E2&gt;=50,F2&gt;=50,G2&gt;=50,OR(H2="A",H2="B",H2="C")),"Pass","Fail")</f>
        <v>Pass</v>
      </c>
      <c r="L2" t="str">
        <f>IF(AND(J2&gt;=75),"DISTINCTION","BELOW DISTINCTION")</f>
        <v>DISTINCTION</v>
      </c>
      <c r="M2">
        <v>1</v>
      </c>
      <c r="N2" t="str">
        <f>IF(AND(J2&gt;=65,J2&lt;75),"1ST CLASS","2NDCLASS")</f>
        <v>2NDCLASS</v>
      </c>
    </row>
    <row r="3" spans="1:14" x14ac:dyDescent="0.3">
      <c r="A3">
        <v>25070521176</v>
      </c>
      <c r="B3" t="s">
        <v>8</v>
      </c>
      <c r="C3">
        <v>99</v>
      </c>
      <c r="D3">
        <v>59</v>
      </c>
      <c r="E3">
        <v>95</v>
      </c>
      <c r="F3">
        <v>99</v>
      </c>
      <c r="G3">
        <v>94</v>
      </c>
      <c r="H3" t="s">
        <v>32</v>
      </c>
      <c r="I3">
        <f t="shared" ref="I3:I21" si="0">SUM(C3:G3)</f>
        <v>446</v>
      </c>
      <c r="J3">
        <f t="shared" ref="J3:J21" si="1">AVERAGE(C3:G3)</f>
        <v>89.2</v>
      </c>
      <c r="K3" t="str">
        <f t="shared" ref="K3:K21" si="2">IF(AND(C3&gt;=50,D3&gt;=50,E3&gt;=50,F3&gt;=50,G3&gt;=50,OR(H3="A",H3="B",H3="C")),"Pass","Fail")</f>
        <v>Pass</v>
      </c>
      <c r="L3" t="str">
        <f t="shared" ref="L3:L21" si="3">IF(AND(J3&gt;=75),"DISTINCTION","BELOW DISTINCTION")</f>
        <v>DISTINCTION</v>
      </c>
      <c r="M3">
        <v>2</v>
      </c>
      <c r="N3" t="str">
        <f t="shared" ref="N3:N21" si="4">IF(AND(J3&gt;=65,J3&lt;75),"1ST CLASS","2NDCLASS")</f>
        <v>2NDCLASS</v>
      </c>
    </row>
    <row r="4" spans="1:14" x14ac:dyDescent="0.3">
      <c r="A4">
        <v>25070521175</v>
      </c>
      <c r="B4" t="s">
        <v>9</v>
      </c>
      <c r="C4">
        <v>77</v>
      </c>
      <c r="D4">
        <v>79</v>
      </c>
      <c r="E4">
        <v>90</v>
      </c>
      <c r="F4">
        <v>59</v>
      </c>
      <c r="G4">
        <v>95</v>
      </c>
      <c r="H4" t="s">
        <v>32</v>
      </c>
      <c r="I4">
        <f t="shared" si="0"/>
        <v>400</v>
      </c>
      <c r="J4">
        <f t="shared" si="1"/>
        <v>80</v>
      </c>
      <c r="K4" t="str">
        <f t="shared" si="2"/>
        <v>Pass</v>
      </c>
      <c r="L4" t="str">
        <f t="shared" si="3"/>
        <v>DISTINCTION</v>
      </c>
      <c r="M4">
        <v>3</v>
      </c>
      <c r="N4" t="str">
        <f t="shared" si="4"/>
        <v>2NDCLASS</v>
      </c>
    </row>
    <row r="5" spans="1:14" x14ac:dyDescent="0.3">
      <c r="A5">
        <v>25070521171</v>
      </c>
      <c r="B5" t="s">
        <v>10</v>
      </c>
      <c r="C5">
        <v>67</v>
      </c>
      <c r="D5">
        <v>99</v>
      </c>
      <c r="E5">
        <v>48</v>
      </c>
      <c r="F5">
        <v>78</v>
      </c>
      <c r="G5">
        <v>99</v>
      </c>
      <c r="H5" t="s">
        <v>33</v>
      </c>
      <c r="I5">
        <f t="shared" si="0"/>
        <v>391</v>
      </c>
      <c r="J5">
        <f t="shared" si="1"/>
        <v>78.2</v>
      </c>
      <c r="K5" t="str">
        <f t="shared" si="2"/>
        <v>Fail</v>
      </c>
      <c r="L5" t="str">
        <f t="shared" si="3"/>
        <v>DISTINCTION</v>
      </c>
      <c r="M5">
        <v>4</v>
      </c>
      <c r="N5" t="str">
        <f t="shared" si="4"/>
        <v>2NDCLASS</v>
      </c>
    </row>
    <row r="6" spans="1:14" x14ac:dyDescent="0.3">
      <c r="A6">
        <v>25070521172</v>
      </c>
      <c r="B6" t="s">
        <v>11</v>
      </c>
      <c r="C6">
        <v>90</v>
      </c>
      <c r="D6">
        <v>74</v>
      </c>
      <c r="E6">
        <v>89</v>
      </c>
      <c r="F6">
        <v>35</v>
      </c>
      <c r="G6">
        <v>94</v>
      </c>
      <c r="H6" t="s">
        <v>34</v>
      </c>
      <c r="I6">
        <f t="shared" si="0"/>
        <v>382</v>
      </c>
      <c r="J6">
        <f t="shared" si="1"/>
        <v>76.400000000000006</v>
      </c>
      <c r="K6" t="str">
        <f t="shared" si="2"/>
        <v>Fail</v>
      </c>
      <c r="L6" t="str">
        <f t="shared" si="3"/>
        <v>DISTINCTION</v>
      </c>
      <c r="M6">
        <v>5</v>
      </c>
      <c r="N6" t="str">
        <f t="shared" si="4"/>
        <v>2NDCLASS</v>
      </c>
    </row>
    <row r="7" spans="1:14" x14ac:dyDescent="0.3">
      <c r="A7">
        <v>25070521168</v>
      </c>
      <c r="B7" t="s">
        <v>12</v>
      </c>
      <c r="C7">
        <v>94</v>
      </c>
      <c r="D7">
        <v>70</v>
      </c>
      <c r="E7">
        <v>89</v>
      </c>
      <c r="F7">
        <v>68</v>
      </c>
      <c r="G7">
        <v>57</v>
      </c>
      <c r="H7" t="s">
        <v>33</v>
      </c>
      <c r="I7">
        <f t="shared" si="0"/>
        <v>378</v>
      </c>
      <c r="J7">
        <f t="shared" si="1"/>
        <v>75.599999999999994</v>
      </c>
      <c r="K7" t="str">
        <f t="shared" si="2"/>
        <v>Pass</v>
      </c>
      <c r="L7" t="str">
        <f t="shared" si="3"/>
        <v>DISTINCTION</v>
      </c>
      <c r="M7">
        <v>6</v>
      </c>
      <c r="N7" t="str">
        <f t="shared" si="4"/>
        <v>2NDCLASS</v>
      </c>
    </row>
    <row r="8" spans="1:14" x14ac:dyDescent="0.3">
      <c r="A8">
        <v>25070521178</v>
      </c>
      <c r="B8" t="s">
        <v>13</v>
      </c>
      <c r="C8">
        <v>97</v>
      </c>
      <c r="D8">
        <v>50</v>
      </c>
      <c r="E8">
        <v>88</v>
      </c>
      <c r="F8">
        <v>69</v>
      </c>
      <c r="G8">
        <v>66</v>
      </c>
      <c r="H8" t="s">
        <v>32</v>
      </c>
      <c r="I8">
        <f t="shared" si="0"/>
        <v>370</v>
      </c>
      <c r="J8">
        <f t="shared" si="1"/>
        <v>74</v>
      </c>
      <c r="K8" t="str">
        <f t="shared" si="2"/>
        <v>Pass</v>
      </c>
      <c r="L8" t="str">
        <f t="shared" si="3"/>
        <v>BELOW DISTINCTION</v>
      </c>
      <c r="M8">
        <v>7</v>
      </c>
      <c r="N8" t="str">
        <f t="shared" si="4"/>
        <v>1ST CLASS</v>
      </c>
    </row>
    <row r="9" spans="1:14" x14ac:dyDescent="0.3">
      <c r="A9">
        <v>25070521177</v>
      </c>
      <c r="B9" t="s">
        <v>14</v>
      </c>
      <c r="C9">
        <v>67</v>
      </c>
      <c r="D9">
        <v>82</v>
      </c>
      <c r="E9">
        <v>76</v>
      </c>
      <c r="F9">
        <v>95</v>
      </c>
      <c r="G9">
        <v>47</v>
      </c>
      <c r="H9" t="s">
        <v>32</v>
      </c>
      <c r="I9">
        <f t="shared" si="0"/>
        <v>367</v>
      </c>
      <c r="J9">
        <f t="shared" si="1"/>
        <v>73.400000000000006</v>
      </c>
      <c r="K9" t="str">
        <f t="shared" si="2"/>
        <v>Fail</v>
      </c>
      <c r="L9" t="str">
        <f t="shared" si="3"/>
        <v>BELOW DISTINCTION</v>
      </c>
      <c r="M9">
        <v>8</v>
      </c>
      <c r="N9" t="str">
        <f t="shared" si="4"/>
        <v>1ST CLASS</v>
      </c>
    </row>
    <row r="10" spans="1:14" x14ac:dyDescent="0.3">
      <c r="A10">
        <v>25070521173</v>
      </c>
      <c r="B10" t="s">
        <v>15</v>
      </c>
      <c r="C10">
        <v>91</v>
      </c>
      <c r="D10">
        <v>87</v>
      </c>
      <c r="E10">
        <v>55</v>
      </c>
      <c r="F10">
        <v>89</v>
      </c>
      <c r="G10">
        <v>38</v>
      </c>
      <c r="H10" t="s">
        <v>34</v>
      </c>
      <c r="I10">
        <f t="shared" si="0"/>
        <v>360</v>
      </c>
      <c r="J10">
        <f t="shared" si="1"/>
        <v>72</v>
      </c>
      <c r="K10" t="str">
        <f t="shared" si="2"/>
        <v>Fail</v>
      </c>
      <c r="L10" t="str">
        <f t="shared" si="3"/>
        <v>BELOW DISTINCTION</v>
      </c>
      <c r="M10">
        <v>9</v>
      </c>
      <c r="N10" t="str">
        <f t="shared" si="4"/>
        <v>1ST CLASS</v>
      </c>
    </row>
    <row r="11" spans="1:14" x14ac:dyDescent="0.3">
      <c r="A11">
        <v>25070521174</v>
      </c>
      <c r="B11" t="s">
        <v>16</v>
      </c>
      <c r="C11">
        <v>50</v>
      </c>
      <c r="D11">
        <v>55</v>
      </c>
      <c r="E11">
        <v>99</v>
      </c>
      <c r="F11">
        <v>68</v>
      </c>
      <c r="G11">
        <v>87</v>
      </c>
      <c r="H11" t="s">
        <v>32</v>
      </c>
      <c r="I11">
        <f t="shared" si="0"/>
        <v>359</v>
      </c>
      <c r="J11">
        <f t="shared" si="1"/>
        <v>71.8</v>
      </c>
      <c r="K11" t="str">
        <f t="shared" si="2"/>
        <v>Pass</v>
      </c>
      <c r="L11" t="str">
        <f t="shared" si="3"/>
        <v>BELOW DISTINCTION</v>
      </c>
      <c r="M11">
        <v>10</v>
      </c>
      <c r="N11" t="str">
        <f t="shared" si="4"/>
        <v>1ST CLASS</v>
      </c>
    </row>
    <row r="12" spans="1:14" x14ac:dyDescent="0.3">
      <c r="A12">
        <v>25070521162</v>
      </c>
      <c r="B12" t="s">
        <v>17</v>
      </c>
      <c r="C12">
        <v>86</v>
      </c>
      <c r="D12">
        <v>36</v>
      </c>
      <c r="E12">
        <v>69</v>
      </c>
      <c r="F12">
        <v>74</v>
      </c>
      <c r="G12">
        <v>80</v>
      </c>
      <c r="H12" t="s">
        <v>33</v>
      </c>
      <c r="I12">
        <f t="shared" si="0"/>
        <v>345</v>
      </c>
      <c r="J12">
        <f t="shared" si="1"/>
        <v>69</v>
      </c>
      <c r="K12" t="str">
        <f t="shared" si="2"/>
        <v>Fail</v>
      </c>
      <c r="L12" t="str">
        <f t="shared" si="3"/>
        <v>BELOW DISTINCTION</v>
      </c>
      <c r="M12">
        <v>11</v>
      </c>
      <c r="N12" t="str">
        <f t="shared" si="4"/>
        <v>1ST CLASS</v>
      </c>
    </row>
    <row r="13" spans="1:14" x14ac:dyDescent="0.3">
      <c r="A13">
        <v>25070521166</v>
      </c>
      <c r="B13" t="s">
        <v>18</v>
      </c>
      <c r="C13">
        <v>38</v>
      </c>
      <c r="D13">
        <v>87</v>
      </c>
      <c r="E13">
        <v>88</v>
      </c>
      <c r="F13">
        <v>85</v>
      </c>
      <c r="G13">
        <v>43</v>
      </c>
      <c r="H13" t="s">
        <v>32</v>
      </c>
      <c r="I13">
        <f t="shared" si="0"/>
        <v>341</v>
      </c>
      <c r="J13">
        <f t="shared" si="1"/>
        <v>68.2</v>
      </c>
      <c r="K13" t="str">
        <f t="shared" si="2"/>
        <v>Fail</v>
      </c>
      <c r="L13" t="str">
        <f t="shared" si="3"/>
        <v>BELOW DISTINCTION</v>
      </c>
      <c r="M13">
        <v>12</v>
      </c>
      <c r="N13" t="str">
        <f t="shared" si="4"/>
        <v>1ST CLASS</v>
      </c>
    </row>
    <row r="14" spans="1:14" x14ac:dyDescent="0.3">
      <c r="A14">
        <v>25070521167</v>
      </c>
      <c r="B14" t="s">
        <v>19</v>
      </c>
      <c r="C14">
        <v>64</v>
      </c>
      <c r="D14">
        <v>93</v>
      </c>
      <c r="E14">
        <v>40</v>
      </c>
      <c r="F14">
        <v>89</v>
      </c>
      <c r="G14">
        <v>54</v>
      </c>
      <c r="H14" t="s">
        <v>32</v>
      </c>
      <c r="I14">
        <f t="shared" si="0"/>
        <v>340</v>
      </c>
      <c r="J14">
        <f t="shared" si="1"/>
        <v>68</v>
      </c>
      <c r="K14" t="str">
        <f t="shared" si="2"/>
        <v>Fail</v>
      </c>
      <c r="L14" t="str">
        <f t="shared" si="3"/>
        <v>BELOW DISTINCTION</v>
      </c>
      <c r="M14">
        <v>13</v>
      </c>
      <c r="N14" t="str">
        <f t="shared" si="4"/>
        <v>1ST CLASS</v>
      </c>
    </row>
    <row r="15" spans="1:14" x14ac:dyDescent="0.3">
      <c r="A15">
        <v>25070521180</v>
      </c>
      <c r="B15" t="s">
        <v>20</v>
      </c>
      <c r="C15">
        <v>79</v>
      </c>
      <c r="D15">
        <v>84</v>
      </c>
      <c r="E15">
        <v>57</v>
      </c>
      <c r="F15">
        <v>38</v>
      </c>
      <c r="G15">
        <v>54</v>
      </c>
      <c r="H15" t="s">
        <v>32</v>
      </c>
      <c r="I15">
        <f t="shared" si="0"/>
        <v>312</v>
      </c>
      <c r="J15">
        <f t="shared" si="1"/>
        <v>62.4</v>
      </c>
      <c r="K15" t="str">
        <f t="shared" si="2"/>
        <v>Fail</v>
      </c>
      <c r="L15" t="str">
        <f t="shared" si="3"/>
        <v>BELOW DISTINCTION</v>
      </c>
      <c r="M15">
        <v>14</v>
      </c>
      <c r="N15" t="str">
        <f t="shared" si="4"/>
        <v>2NDCLASS</v>
      </c>
    </row>
    <row r="16" spans="1:14" x14ac:dyDescent="0.3">
      <c r="A16">
        <v>25070521170</v>
      </c>
      <c r="B16" t="s">
        <v>21</v>
      </c>
      <c r="C16">
        <v>62</v>
      </c>
      <c r="D16">
        <v>74</v>
      </c>
      <c r="E16">
        <v>35</v>
      </c>
      <c r="F16">
        <v>59</v>
      </c>
      <c r="G16">
        <v>59</v>
      </c>
      <c r="H16" t="s">
        <v>33</v>
      </c>
      <c r="I16">
        <f t="shared" si="0"/>
        <v>289</v>
      </c>
      <c r="J16">
        <f t="shared" si="1"/>
        <v>57.8</v>
      </c>
      <c r="K16" t="str">
        <f t="shared" si="2"/>
        <v>Fail</v>
      </c>
      <c r="L16" t="str">
        <f t="shared" si="3"/>
        <v>BELOW DISTINCTION</v>
      </c>
      <c r="M16">
        <v>15</v>
      </c>
      <c r="N16" t="str">
        <f t="shared" si="4"/>
        <v>2NDCLASS</v>
      </c>
    </row>
    <row r="17" spans="1:14" x14ac:dyDescent="0.3">
      <c r="A17">
        <v>25070521169</v>
      </c>
      <c r="B17" t="s">
        <v>22</v>
      </c>
      <c r="C17">
        <v>47</v>
      </c>
      <c r="D17">
        <v>41</v>
      </c>
      <c r="E17">
        <v>57</v>
      </c>
      <c r="F17">
        <v>66</v>
      </c>
      <c r="G17">
        <v>77</v>
      </c>
      <c r="H17" t="s">
        <v>34</v>
      </c>
      <c r="I17">
        <f t="shared" si="0"/>
        <v>288</v>
      </c>
      <c r="J17">
        <f t="shared" si="1"/>
        <v>57.6</v>
      </c>
      <c r="K17" t="str">
        <f t="shared" si="2"/>
        <v>Fail</v>
      </c>
      <c r="L17" t="str">
        <f t="shared" si="3"/>
        <v>BELOW DISTINCTION</v>
      </c>
      <c r="M17">
        <v>16</v>
      </c>
      <c r="N17" t="str">
        <f t="shared" si="4"/>
        <v>2NDCLASS</v>
      </c>
    </row>
    <row r="18" spans="1:14" x14ac:dyDescent="0.3">
      <c r="A18">
        <v>25070521179</v>
      </c>
      <c r="B18" t="s">
        <v>23</v>
      </c>
      <c r="C18">
        <v>49</v>
      </c>
      <c r="D18">
        <v>36</v>
      </c>
      <c r="E18">
        <v>46</v>
      </c>
      <c r="F18">
        <v>79</v>
      </c>
      <c r="G18">
        <v>67</v>
      </c>
      <c r="H18" t="s">
        <v>32</v>
      </c>
      <c r="I18">
        <f t="shared" si="0"/>
        <v>277</v>
      </c>
      <c r="J18">
        <f t="shared" si="1"/>
        <v>55.4</v>
      </c>
      <c r="K18" t="str">
        <f t="shared" si="2"/>
        <v>Fail</v>
      </c>
      <c r="L18" t="str">
        <f t="shared" si="3"/>
        <v>BELOW DISTINCTION</v>
      </c>
      <c r="M18">
        <v>17</v>
      </c>
      <c r="N18" t="str">
        <f t="shared" si="4"/>
        <v>2NDCLASS</v>
      </c>
    </row>
    <row r="19" spans="1:14" x14ac:dyDescent="0.3">
      <c r="A19">
        <v>25070521163</v>
      </c>
      <c r="B19" t="s">
        <v>24</v>
      </c>
      <c r="C19">
        <v>60</v>
      </c>
      <c r="D19">
        <v>39</v>
      </c>
      <c r="E19">
        <v>81</v>
      </c>
      <c r="F19">
        <v>51</v>
      </c>
      <c r="G19">
        <v>42</v>
      </c>
      <c r="H19" t="s">
        <v>32</v>
      </c>
      <c r="I19">
        <f t="shared" si="0"/>
        <v>273</v>
      </c>
      <c r="J19">
        <f t="shared" si="1"/>
        <v>54.6</v>
      </c>
      <c r="K19" t="str">
        <f t="shared" si="2"/>
        <v>Fail</v>
      </c>
      <c r="L19" t="str">
        <f t="shared" si="3"/>
        <v>BELOW DISTINCTION</v>
      </c>
      <c r="M19">
        <v>18</v>
      </c>
      <c r="N19" t="str">
        <f t="shared" si="4"/>
        <v>2NDCLASS</v>
      </c>
    </row>
    <row r="20" spans="1:14" x14ac:dyDescent="0.3">
      <c r="A20">
        <v>25070521164</v>
      </c>
      <c r="B20" t="s">
        <v>25</v>
      </c>
      <c r="C20">
        <v>37</v>
      </c>
      <c r="D20">
        <v>53</v>
      </c>
      <c r="E20">
        <v>49</v>
      </c>
      <c r="F20">
        <v>63</v>
      </c>
      <c r="G20">
        <v>57</v>
      </c>
      <c r="H20" t="s">
        <v>32</v>
      </c>
      <c r="I20">
        <f t="shared" si="0"/>
        <v>259</v>
      </c>
      <c r="J20">
        <f t="shared" si="1"/>
        <v>51.8</v>
      </c>
      <c r="K20" t="str">
        <f t="shared" si="2"/>
        <v>Fail</v>
      </c>
      <c r="L20" t="str">
        <f t="shared" si="3"/>
        <v>BELOW DISTINCTION</v>
      </c>
      <c r="M20">
        <v>19</v>
      </c>
      <c r="N20" t="str">
        <f t="shared" si="4"/>
        <v>2NDCLASS</v>
      </c>
    </row>
    <row r="21" spans="1:14" x14ac:dyDescent="0.3">
      <c r="A21">
        <v>25070521165</v>
      </c>
      <c r="B21" t="s">
        <v>26</v>
      </c>
      <c r="C21">
        <v>46</v>
      </c>
      <c r="D21">
        <v>42</v>
      </c>
      <c r="E21">
        <v>69</v>
      </c>
      <c r="F21">
        <v>55</v>
      </c>
      <c r="G21">
        <v>38</v>
      </c>
      <c r="H21" t="s">
        <v>32</v>
      </c>
      <c r="I21">
        <f t="shared" si="0"/>
        <v>250</v>
      </c>
      <c r="J21">
        <f t="shared" si="1"/>
        <v>50</v>
      </c>
      <c r="K21" t="str">
        <f t="shared" si="2"/>
        <v>Fail</v>
      </c>
      <c r="L21" t="str">
        <f t="shared" si="3"/>
        <v>BELOW DISTINCTION</v>
      </c>
      <c r="M21">
        <v>20</v>
      </c>
      <c r="N21" t="str">
        <f t="shared" si="4"/>
        <v>2NDCLASS</v>
      </c>
    </row>
    <row r="22" spans="1:14" x14ac:dyDescent="0.3">
      <c r="L22">
        <f>COUNTIF(L2:L21,"DISTINCTION")</f>
        <v>6</v>
      </c>
    </row>
  </sheetData>
  <sortState xmlns:xlrd2="http://schemas.microsoft.com/office/spreadsheetml/2017/richdata2" ref="C2:L22">
    <sortCondition descending="1" ref="I2:I22"/>
  </sortState>
  <conditionalFormatting sqref="H2:H21">
    <cfRule type="cellIs" dxfId="8" priority="3" operator="equal">
      <formula>"C"</formula>
    </cfRule>
    <cfRule type="cellIs" dxfId="7" priority="4" operator="equal">
      <formula>"B"</formula>
    </cfRule>
    <cfRule type="cellIs" dxfId="6" priority="5" operator="equal">
      <formula>"A"</formula>
    </cfRule>
  </conditionalFormatting>
  <conditionalFormatting sqref="K1:K21">
    <cfRule type="colorScale" priority="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2:K21">
    <cfRule type="cellIs" dxfId="5" priority="9" operator="equal">
      <formula>"PASS"</formula>
    </cfRule>
    <cfRule type="cellIs" dxfId="4" priority="10" operator="equal">
      <formula>"FAIL"</formula>
    </cfRule>
  </conditionalFormatting>
  <conditionalFormatting sqref="L2:L21">
    <cfRule type="cellIs" dxfId="3" priority="8" operator="equal">
      <formula>"DISTINCTION"</formula>
    </cfRule>
  </conditionalFormatting>
  <conditionalFormatting sqref="L8:L21">
    <cfRule type="cellIs" dxfId="2" priority="7" operator="equal">
      <formula>"BELOW DISTINCTION"</formula>
    </cfRule>
  </conditionalFormatting>
  <conditionalFormatting sqref="M2:M21">
    <cfRule type="cellIs" dxfId="1" priority="1" operator="equal">
      <formula>10.5</formula>
    </cfRule>
    <cfRule type="cellIs" dxfId="0" priority="6" operator="equal">
      <formula>10.5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E9D3B0-2621-4636-98B4-E78F240CE7A7}">
  <dimension ref="A1:D21"/>
  <sheetViews>
    <sheetView tabSelected="1" workbookViewId="0">
      <selection activeCell="D24" sqref="D24"/>
    </sheetView>
  </sheetViews>
  <sheetFormatPr defaultRowHeight="14.4" x14ac:dyDescent="0.3"/>
  <cols>
    <col min="1" max="1" width="13.33203125" customWidth="1"/>
  </cols>
  <sheetData>
    <row r="1" spans="1:4" x14ac:dyDescent="0.3">
      <c r="A1" s="1" t="s">
        <v>1</v>
      </c>
      <c r="B1" s="3" t="s">
        <v>37</v>
      </c>
      <c r="C1" s="3" t="s">
        <v>27</v>
      </c>
      <c r="D1" s="3" t="s">
        <v>38</v>
      </c>
    </row>
    <row r="2" spans="1:4" x14ac:dyDescent="0.3">
      <c r="A2">
        <v>25070521161</v>
      </c>
      <c r="B2" t="s">
        <v>7</v>
      </c>
      <c r="C2">
        <f>VLOOKUP(A2,Sheet1!A2:N21, 9, 0)</f>
        <v>459</v>
      </c>
      <c r="D2" t="str">
        <f>VLOOKUP(A2,Sheet1!A2:N21, 11, 0)</f>
        <v>Pass</v>
      </c>
    </row>
    <row r="3" spans="1:4" x14ac:dyDescent="0.3">
      <c r="A3">
        <v>25070521176</v>
      </c>
      <c r="B3" t="str">
        <f>VLOOKUP(A3,Sheet1!A3:N22, 2, 0)</f>
        <v>Student2</v>
      </c>
      <c r="C3">
        <f>VLOOKUP(A3,Sheet1!A3:N22, 9, 0)</f>
        <v>446</v>
      </c>
      <c r="D3" t="str">
        <f>VLOOKUP(A3,Sheet1!A3:N22, 11, 0)</f>
        <v>Pass</v>
      </c>
    </row>
    <row r="4" spans="1:4" x14ac:dyDescent="0.3">
      <c r="A4">
        <v>25070521175</v>
      </c>
      <c r="B4" t="str">
        <f>VLOOKUP(A4,Sheet1!A4:N23, 2, 0)</f>
        <v>Student3</v>
      </c>
      <c r="C4">
        <f>VLOOKUP(A4,Sheet1!A4:N23, 9, 0)</f>
        <v>400</v>
      </c>
      <c r="D4" t="str">
        <f>VLOOKUP(A4,Sheet1!A4:N23, 11, 0)</f>
        <v>Pass</v>
      </c>
    </row>
    <row r="5" spans="1:4" x14ac:dyDescent="0.3">
      <c r="A5">
        <v>25070521171</v>
      </c>
      <c r="B5" t="str">
        <f>VLOOKUP(A5,Sheet1!A5:N24, 2, 0)</f>
        <v>Student4</v>
      </c>
      <c r="C5">
        <f>VLOOKUP(A5,Sheet1!A5:N24, 9, 0)</f>
        <v>391</v>
      </c>
      <c r="D5" t="str">
        <f>VLOOKUP(A5,Sheet1!A5:N24, 11, 0)</f>
        <v>Fail</v>
      </c>
    </row>
    <row r="6" spans="1:4" x14ac:dyDescent="0.3">
      <c r="A6">
        <v>25070521172</v>
      </c>
      <c r="B6" t="str">
        <f>VLOOKUP(A6,Sheet1!A6:N25, 2, 0)</f>
        <v>Student5</v>
      </c>
      <c r="C6">
        <f>VLOOKUP(A6,Sheet1!A6:N25, 9, 0)</f>
        <v>382</v>
      </c>
      <c r="D6" t="str">
        <f>VLOOKUP(A6,Sheet1!A6:N25, 11, 0)</f>
        <v>Fail</v>
      </c>
    </row>
    <row r="7" spans="1:4" x14ac:dyDescent="0.3">
      <c r="A7">
        <v>25070521168</v>
      </c>
      <c r="B7" t="str">
        <f>VLOOKUP(A7,Sheet1!A7:N26, 2, 0)</f>
        <v>Student6</v>
      </c>
      <c r="C7">
        <f>VLOOKUP(A7,Sheet1!A7:N26, 9, 0)</f>
        <v>378</v>
      </c>
      <c r="D7" t="str">
        <f>VLOOKUP(A7,Sheet1!A7:N26, 11, 0)</f>
        <v>Pass</v>
      </c>
    </row>
    <row r="8" spans="1:4" x14ac:dyDescent="0.3">
      <c r="A8">
        <v>25070521178</v>
      </c>
      <c r="B8" t="str">
        <f>VLOOKUP(A8,Sheet1!A8:N27, 2, 0)</f>
        <v>Student7</v>
      </c>
      <c r="C8">
        <f>VLOOKUP(A8,Sheet1!A8:N27, 9, 0)</f>
        <v>370</v>
      </c>
      <c r="D8" t="str">
        <f>VLOOKUP(A8,Sheet1!A8:N27, 11, 0)</f>
        <v>Pass</v>
      </c>
    </row>
    <row r="9" spans="1:4" x14ac:dyDescent="0.3">
      <c r="A9">
        <v>25070521177</v>
      </c>
      <c r="B9" t="str">
        <f>VLOOKUP(A9,Sheet1!A9:N28, 2, 0)</f>
        <v>Student8</v>
      </c>
      <c r="C9">
        <f>VLOOKUP(A9,Sheet1!A9:N28, 9, 0)</f>
        <v>367</v>
      </c>
      <c r="D9" t="str">
        <f>VLOOKUP(A9,Sheet1!A9:N28, 11, 0)</f>
        <v>Fail</v>
      </c>
    </row>
    <row r="10" spans="1:4" x14ac:dyDescent="0.3">
      <c r="A10">
        <v>25070521173</v>
      </c>
      <c r="B10" t="str">
        <f>VLOOKUP(A10,Sheet1!A10:N29, 2, 0)</f>
        <v>Student9</v>
      </c>
      <c r="C10">
        <f>VLOOKUP(A10,Sheet1!A10:N29, 9, 0)</f>
        <v>360</v>
      </c>
      <c r="D10" t="str">
        <f>VLOOKUP(A10,Sheet1!A10:N29, 11, 0)</f>
        <v>Fail</v>
      </c>
    </row>
    <row r="11" spans="1:4" x14ac:dyDescent="0.3">
      <c r="A11">
        <v>25070521174</v>
      </c>
      <c r="B11" t="str">
        <f>VLOOKUP(A11,Sheet1!A11:N30, 2, 0)</f>
        <v>Student10</v>
      </c>
      <c r="C11">
        <f>VLOOKUP(A11,Sheet1!A11:N30, 9, 0)</f>
        <v>359</v>
      </c>
      <c r="D11" t="str">
        <f>VLOOKUP(A11,Sheet1!A11:N30, 11, 0)</f>
        <v>Pass</v>
      </c>
    </row>
    <row r="12" spans="1:4" x14ac:dyDescent="0.3">
      <c r="A12">
        <v>25070521162</v>
      </c>
      <c r="B12" t="str">
        <f>VLOOKUP(A12,Sheet1!A12:N31, 2, 0)</f>
        <v>Student11</v>
      </c>
      <c r="C12">
        <f>VLOOKUP(A12,Sheet1!A12:N31, 9, 0)</f>
        <v>345</v>
      </c>
      <c r="D12" t="str">
        <f>VLOOKUP(A12,Sheet1!A12:N31, 11, 0)</f>
        <v>Fail</v>
      </c>
    </row>
    <row r="13" spans="1:4" x14ac:dyDescent="0.3">
      <c r="A13">
        <v>25070521166</v>
      </c>
      <c r="B13" t="str">
        <f>VLOOKUP(A13,Sheet1!A13:N32, 2, 0)</f>
        <v>Student12</v>
      </c>
      <c r="C13">
        <f>VLOOKUP(A13,Sheet1!A13:N32, 9, 0)</f>
        <v>341</v>
      </c>
      <c r="D13" t="str">
        <f>VLOOKUP(A13,Sheet1!A13:N32, 11, 0)</f>
        <v>Fail</v>
      </c>
    </row>
    <row r="14" spans="1:4" x14ac:dyDescent="0.3">
      <c r="A14">
        <v>25070521167</v>
      </c>
      <c r="B14" t="str">
        <f>VLOOKUP(A14,Sheet1!A14:N33, 2, 0)</f>
        <v>Student13</v>
      </c>
      <c r="C14">
        <f>VLOOKUP(A14,Sheet1!A14:N33, 9, 0)</f>
        <v>340</v>
      </c>
      <c r="D14" t="str">
        <f>VLOOKUP(A14,Sheet1!A14:N33, 11, 0)</f>
        <v>Fail</v>
      </c>
    </row>
    <row r="15" spans="1:4" x14ac:dyDescent="0.3">
      <c r="A15">
        <v>25070521180</v>
      </c>
      <c r="B15" t="str">
        <f>VLOOKUP(A15,Sheet1!A15:N34, 2, 0)</f>
        <v>Student14</v>
      </c>
      <c r="C15">
        <f>VLOOKUP(A15,Sheet1!A15:N34, 9, 0)</f>
        <v>312</v>
      </c>
      <c r="D15" t="str">
        <f>VLOOKUP(A15,Sheet1!A15:N34, 11, 0)</f>
        <v>Fail</v>
      </c>
    </row>
    <row r="16" spans="1:4" x14ac:dyDescent="0.3">
      <c r="A16">
        <v>25070521170</v>
      </c>
      <c r="B16" t="str">
        <f>VLOOKUP(A16,Sheet1!A16:N35, 2, 0)</f>
        <v>Student15</v>
      </c>
      <c r="C16">
        <f>VLOOKUP(A16,Sheet1!A16:N35, 9, 0)</f>
        <v>289</v>
      </c>
      <c r="D16" t="str">
        <f>VLOOKUP(A16,Sheet1!A16:N35, 11, 0)</f>
        <v>Fail</v>
      </c>
    </row>
    <row r="17" spans="1:4" x14ac:dyDescent="0.3">
      <c r="A17">
        <v>25070521169</v>
      </c>
      <c r="B17" t="str">
        <f>VLOOKUP(A17,Sheet1!A17:N36, 2, 0)</f>
        <v>Student16</v>
      </c>
      <c r="C17">
        <f>VLOOKUP(A17,Sheet1!A17:N36, 9, 0)</f>
        <v>288</v>
      </c>
      <c r="D17" t="str">
        <f>VLOOKUP(A17,Sheet1!A17:N36, 11, 0)</f>
        <v>Fail</v>
      </c>
    </row>
    <row r="18" spans="1:4" x14ac:dyDescent="0.3">
      <c r="A18">
        <v>25070521179</v>
      </c>
      <c r="B18" t="str">
        <f>VLOOKUP(A18,Sheet1!A18:N37, 2, 0)</f>
        <v>Student17</v>
      </c>
      <c r="C18">
        <f>VLOOKUP(A18,Sheet1!A18:N37, 9, 0)</f>
        <v>277</v>
      </c>
      <c r="D18" t="str">
        <f>VLOOKUP(A18,Sheet1!A18:N37, 11, 0)</f>
        <v>Fail</v>
      </c>
    </row>
    <row r="19" spans="1:4" x14ac:dyDescent="0.3">
      <c r="A19">
        <v>25070521163</v>
      </c>
      <c r="B19" t="str">
        <f>VLOOKUP(A19,Sheet1!A19:N38, 2, 0)</f>
        <v>Student18</v>
      </c>
      <c r="C19">
        <f>VLOOKUP(A19,Sheet1!A19:N38, 9, 0)</f>
        <v>273</v>
      </c>
      <c r="D19" t="str">
        <f>VLOOKUP(A19,Sheet1!A19:N38, 11, 0)</f>
        <v>Fail</v>
      </c>
    </row>
    <row r="20" spans="1:4" x14ac:dyDescent="0.3">
      <c r="A20">
        <v>25070521164</v>
      </c>
      <c r="B20" t="str">
        <f>VLOOKUP(A20,Sheet1!A20:N39, 2, 0)</f>
        <v>Student19</v>
      </c>
      <c r="C20">
        <f>VLOOKUP(A20,Sheet1!A20:N39, 9, 0)</f>
        <v>259</v>
      </c>
      <c r="D20" t="str">
        <f>VLOOKUP(A20,Sheet1!A20:N39, 11, 0)</f>
        <v>Fail</v>
      </c>
    </row>
    <row r="21" spans="1:4" x14ac:dyDescent="0.3">
      <c r="A21">
        <v>25070521165</v>
      </c>
      <c r="B21" t="str">
        <f>VLOOKUP(A21,Sheet1!A21:N40, 2, 0)</f>
        <v>Student20</v>
      </c>
      <c r="C21">
        <f>VLOOKUP(A21,Sheet1!A21:N40, 9, 0)</f>
        <v>250</v>
      </c>
      <c r="D21" t="str">
        <f>VLOOKUP(A21,Sheet1!A21:N40, 11, 0)</f>
        <v>Fail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Shravani Girde</dc:creator>
  <cp:lastModifiedBy>Shravani Girde</cp:lastModifiedBy>
  <dcterms:created xsi:type="dcterms:W3CDTF">2025-10-02T08:54:11Z</dcterms:created>
  <dcterms:modified xsi:type="dcterms:W3CDTF">2025-10-29T12:44:19Z</dcterms:modified>
</cp:coreProperties>
</file>