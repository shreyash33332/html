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rav\Downloads\"/>
    </mc:Choice>
  </mc:AlternateContent>
  <xr:revisionPtr revIDLastSave="0" documentId="13_ncr:1_{07BC9E5F-C0CB-4F8E-9AFC-2F297F5796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" i="1"/>
  <c r="L8" i="1"/>
  <c r="L2" i="1"/>
  <c r="J2" i="1"/>
  <c r="K2" i="1"/>
  <c r="K12" i="1"/>
  <c r="K19" i="1"/>
  <c r="K20" i="1"/>
  <c r="K21" i="1"/>
  <c r="K13" i="1"/>
  <c r="K14" i="1"/>
  <c r="K7" i="1"/>
  <c r="K17" i="1"/>
  <c r="K16" i="1"/>
  <c r="K5" i="1"/>
  <c r="K6" i="1"/>
  <c r="K10" i="1"/>
  <c r="K11" i="1"/>
  <c r="K4" i="1"/>
  <c r="K3" i="1"/>
  <c r="K9" i="1"/>
  <c r="K8" i="1"/>
  <c r="K18" i="1"/>
  <c r="K15" i="1"/>
  <c r="L17" i="1"/>
  <c r="L16" i="1"/>
  <c r="L5" i="1"/>
  <c r="L6" i="1"/>
  <c r="I2" i="1"/>
  <c r="J12" i="1"/>
  <c r="L12" i="1" s="1"/>
  <c r="J19" i="1"/>
  <c r="L19" i="1" s="1"/>
  <c r="J20" i="1"/>
  <c r="L20" i="1" s="1"/>
  <c r="J21" i="1"/>
  <c r="L21" i="1" s="1"/>
  <c r="J13" i="1"/>
  <c r="L13" i="1" s="1"/>
  <c r="J14" i="1"/>
  <c r="L14" i="1" s="1"/>
  <c r="J7" i="1"/>
  <c r="L7" i="1" s="1"/>
  <c r="J17" i="1"/>
  <c r="J16" i="1"/>
  <c r="J5" i="1"/>
  <c r="J6" i="1"/>
  <c r="J10" i="1"/>
  <c r="L10" i="1" s="1"/>
  <c r="J11" i="1"/>
  <c r="L11" i="1" s="1"/>
  <c r="J4" i="1"/>
  <c r="L4" i="1" s="1"/>
  <c r="J3" i="1"/>
  <c r="L3" i="1" s="1"/>
  <c r="J9" i="1"/>
  <c r="L9" i="1" s="1"/>
  <c r="J8" i="1"/>
  <c r="J18" i="1"/>
  <c r="L18" i="1" s="1"/>
  <c r="J15" i="1"/>
  <c r="L15" i="1" s="1"/>
  <c r="I12" i="1"/>
  <c r="I19" i="1"/>
  <c r="I20" i="1"/>
  <c r="I21" i="1"/>
  <c r="I13" i="1"/>
  <c r="I14" i="1"/>
  <c r="I7" i="1"/>
  <c r="I17" i="1"/>
  <c r="I16" i="1"/>
  <c r="I5" i="1"/>
  <c r="I6" i="1"/>
  <c r="I10" i="1"/>
  <c r="I11" i="1"/>
  <c r="I4" i="1"/>
  <c r="I3" i="1"/>
  <c r="I9" i="1"/>
  <c r="I8" i="1"/>
  <c r="I18" i="1"/>
  <c r="I15" i="1"/>
  <c r="L22" i="1" l="1"/>
</calcChain>
</file>

<file path=xl/sharedStrings.xml><?xml version="1.0" encoding="utf-8"?>
<sst xmlns="http://schemas.openxmlformats.org/spreadsheetml/2006/main" count="75" uniqueCount="38">
  <si>
    <t>Name</t>
  </si>
  <si>
    <t>PRN</t>
  </si>
  <si>
    <t>Math</t>
  </si>
  <si>
    <t>Science</t>
  </si>
  <si>
    <t>English</t>
  </si>
  <si>
    <t>History</t>
  </si>
  <si>
    <t>Computer</t>
  </si>
  <si>
    <t>Student1</t>
  </si>
  <si>
    <t>Student2</t>
  </si>
  <si>
    <t>Student3</t>
  </si>
  <si>
    <t>Student4</t>
  </si>
  <si>
    <t>Student5</t>
  </si>
  <si>
    <t>Student6</t>
  </si>
  <si>
    <t>Student7</t>
  </si>
  <si>
    <t>Student8</t>
  </si>
  <si>
    <t>Student9</t>
  </si>
  <si>
    <t>Student10</t>
  </si>
  <si>
    <t>Student11</t>
  </si>
  <si>
    <t>Student12</t>
  </si>
  <si>
    <t>Student13</t>
  </si>
  <si>
    <t>Student14</t>
  </si>
  <si>
    <t>Student15</t>
  </si>
  <si>
    <t>Student16</t>
  </si>
  <si>
    <t>Student17</t>
  </si>
  <si>
    <t>Student18</t>
  </si>
  <si>
    <t>Student19</t>
  </si>
  <si>
    <t>Student20</t>
  </si>
  <si>
    <t>TOTAL</t>
  </si>
  <si>
    <t>PERCENTAGE</t>
  </si>
  <si>
    <t>RESULTS</t>
  </si>
  <si>
    <t>DISTINCTION</t>
  </si>
  <si>
    <t>TINKER</t>
  </si>
  <si>
    <t>A</t>
  </si>
  <si>
    <t>B</t>
  </si>
  <si>
    <t>C</t>
  </si>
  <si>
    <t>TOPPER LIST</t>
  </si>
  <si>
    <t>BELOW DISTINCTION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</si>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</sst>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</cellXfs>
  <cellStyles count="1">
    <cellStyle name="Normal" xfId="0" builtinId="0"/>
  </cellStyles>
  <dxfs count="55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79998168889431442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topLeftCell="H1" zoomScale="108" workbookViewId="0">
      <selection activeCell="P1" sqref="P1"/>
    </sheetView>
  </sheetViews>
  <sheetFormatPr defaultRowHeight="14.4" x14ac:dyDescent="0.3"/>
  <cols>
    <col min="2" max="2" width="13.33203125" customWidth="1"/>
    <col min="10" max="10" width="13.33203125" customWidth="1"/>
    <col min="12" max="12" width="19.44140625" customWidth="1"/>
    <col min="13" max="13" width="14.5546875" customWidth="1"/>
    <col min="14" max="14" width="24.441406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31</v>
      </c>
      <c r="I1" s="2" t="s">
        <v>27</v>
      </c>
      <c r="J1" s="2" t="s">
        <v>28</v>
      </c>
      <c r="K1" s="2" t="s">
        <v>29</v>
      </c>
      <c r="L1" s="2" t="s">
        <v>30</v>
      </c>
      <c r="M1" s="2" t="s">
        <v>35</v>
      </c>
      <c r="N1" s="2" t="s">
        <v>37</v>
      </c>
    </row>
    <row r="2" spans="1:14" x14ac:dyDescent="0.3">
      <c r="A2" t="s">
        <v>7</v>
      </c>
      <c r="B2">
        <v>25070521161</v>
      </c>
      <c r="C2">
        <v>74</v>
      </c>
      <c r="D2">
        <v>93</v>
      </c>
      <c r="E2">
        <v>94</v>
      </c>
      <c r="F2">
        <v>99</v>
      </c>
      <c r="G2">
        <v>99</v>
      </c>
      <c r="H2" t="s">
        <v>32</v>
      </c>
      <c r="I2">
        <f>SUM(C2:G2)</f>
        <v>459</v>
      </c>
      <c r="J2">
        <f>AVERAGE(C2:G2)</f>
        <v>91.8</v>
      </c>
      <c r="K2" t="str">
        <f>IF(AND(C2&gt;=50,D2&gt;=50,E2&gt;=50,F2&gt;=50,G2&gt;=50,OR(H2="A",H2="B",H2="C")),"Pass","Fail")</f>
        <v>Pass</v>
      </c>
      <c r="L2" t="str">
        <f>IF(AND(J2&gt;=75),"DISTINCTION","BELOW DISTINCTION")</f>
        <v>DISTINCTION</v>
      </c>
      <c r="M2">
        <v>1</v>
      </c>
      <c r="N2" t="str">
        <f>IF(AND(J2&gt;=65,J2&lt;75),"1ST CLASS","2NDCLASS")</f>
        <v>2NDCLASS</v>
      </c>
    </row>
    <row r="3" spans="1:14" x14ac:dyDescent="0.3">
      <c r="A3" t="s">
        <v>8</v>
      </c>
      <c r="B3">
        <v>25070521176</v>
      </c>
      <c r="C3">
        <v>99</v>
      </c>
      <c r="D3">
        <v>59</v>
      </c>
      <c r="E3">
        <v>95</v>
      </c>
      <c r="F3">
        <v>99</v>
      </c>
      <c r="G3">
        <v>94</v>
      </c>
      <c r="H3" t="s">
        <v>32</v>
      </c>
      <c r="I3">
        <f>SUM(C3:G3)</f>
        <v>446</v>
      </c>
      <c r="J3">
        <f>AVERAGE(C3:G3)</f>
        <v>89.2</v>
      </c>
      <c r="K3" t="str">
        <f>IF(AND(C3&gt;=50,D3&gt;=50,E3&gt;=50,F3&gt;=50,G3&gt;=50,OR(H3="A",H3="B",H3="C")),"Pass","Fail")</f>
        <v>Pass</v>
      </c>
      <c r="L3" t="str">
        <f>IF(AND(J3&gt;=75),"DISTINCTION","BELOW DISTINCTION")</f>
        <v>DISTINCTION</v>
      </c>
      <c r="M3">
        <v>2</v>
      </c>
      <c r="N3" t="str">
        <f t="shared" ref="N3:N21" si="0">IF(AND(J3&gt;=65,J3&lt;75),"1ST CLASS","2NDCLASS")</f>
        <v>2NDCLASS</v>
      </c>
    </row>
    <row r="4" spans="1:14" x14ac:dyDescent="0.3">
      <c r="A4" t="s">
        <v>9</v>
      </c>
      <c r="B4">
        <v>25070521175</v>
      </c>
      <c r="C4">
        <v>77</v>
      </c>
      <c r="D4">
        <v>79</v>
      </c>
      <c r="E4">
        <v>90</v>
      </c>
      <c r="F4">
        <v>59</v>
      </c>
      <c r="G4">
        <v>95</v>
      </c>
      <c r="H4" t="s">
        <v>32</v>
      </c>
      <c r="I4">
        <f>SUM(C4:G4)</f>
        <v>400</v>
      </c>
      <c r="J4">
        <f>AVERAGE(C4:G4)</f>
        <v>80</v>
      </c>
      <c r="K4" t="str">
        <f>IF(AND(C4&gt;=50,D4&gt;=50,E4&gt;=50,F4&gt;=50,G4&gt;=50,OR(H4="A",H4="B",H4="C")),"Pass","Fail")</f>
        <v>Pass</v>
      </c>
      <c r="L4" t="str">
        <f>IF(AND(J4&gt;=75),"DISTINCTION","BELOW DISTINCTION")</f>
        <v>DISTINCTION</v>
      </c>
      <c r="M4">
        <v>3</v>
      </c>
      <c r="N4" t="str">
        <f t="shared" si="0"/>
        <v>2NDCLASS</v>
      </c>
    </row>
    <row r="5" spans="1:14" x14ac:dyDescent="0.3">
      <c r="A5" t="s">
        <v>10</v>
      </c>
      <c r="B5">
        <v>25070521171</v>
      </c>
      <c r="C5">
        <v>67</v>
      </c>
      <c r="D5">
        <v>99</v>
      </c>
      <c r="E5">
        <v>48</v>
      </c>
      <c r="F5">
        <v>78</v>
      </c>
      <c r="G5">
        <v>99</v>
      </c>
      <c r="H5" t="s">
        <v>33</v>
      </c>
      <c r="I5">
        <f>SUM(C5:G5)</f>
        <v>391</v>
      </c>
      <c r="J5">
        <f>AVERAGE(C5:G5)</f>
        <v>78.2</v>
      </c>
      <c r="K5" t="str">
        <f>IF(AND(C5&gt;=50,D5&gt;=50,E5&gt;=50,F5&gt;=50,G5&gt;=50,OR(H5="A",H5="B",H5="C")),"Pass","Fail")</f>
        <v>Fail</v>
      </c>
      <c r="L5" t="str">
        <f>IF(AND(J5&gt;=75),"DISTINCTION","BELOW DISTINCTION")</f>
        <v>DISTINCTION</v>
      </c>
      <c r="M5">
        <v>4</v>
      </c>
      <c r="N5" t="str">
        <f t="shared" si="0"/>
        <v>2NDCLASS</v>
      </c>
    </row>
    <row r="6" spans="1:14" x14ac:dyDescent="0.3">
      <c r="A6" t="s">
        <v>11</v>
      </c>
      <c r="B6">
        <v>25070521172</v>
      </c>
      <c r="C6">
        <v>90</v>
      </c>
      <c r="D6">
        <v>74</v>
      </c>
      <c r="E6">
        <v>89</v>
      </c>
      <c r="F6">
        <v>35</v>
      </c>
      <c r="G6">
        <v>94</v>
      </c>
      <c r="H6" t="s">
        <v>34</v>
      </c>
      <c r="I6">
        <f>SUM(C6:G6)</f>
        <v>382</v>
      </c>
      <c r="J6">
        <f>AVERAGE(C6:G6)</f>
        <v>76.400000000000006</v>
      </c>
      <c r="K6" t="str">
        <f>IF(AND(C6&gt;=50,D6&gt;=50,E6&gt;=50,F6&gt;=50,G6&gt;=50,OR(H6="A",H6="B",H6="C")),"Pass","Fail")</f>
        <v>Fail</v>
      </c>
      <c r="L6" t="str">
        <f>IF(AND(J6&gt;=75),"DISTINCTION","BELOW DISTINCTION")</f>
        <v>DISTINCTION</v>
      </c>
      <c r="M6">
        <v>5</v>
      </c>
      <c r="N6" t="str">
        <f t="shared" si="0"/>
        <v>2NDCLASS</v>
      </c>
    </row>
    <row r="7" spans="1:14" x14ac:dyDescent="0.3">
      <c r="A7" t="s">
        <v>12</v>
      </c>
      <c r="B7">
        <v>25070521168</v>
      </c>
      <c r="C7">
        <v>94</v>
      </c>
      <c r="D7">
        <v>70</v>
      </c>
      <c r="E7">
        <v>89</v>
      </c>
      <c r="F7">
        <v>68</v>
      </c>
      <c r="G7">
        <v>57</v>
      </c>
      <c r="H7" t="s">
        <v>33</v>
      </c>
      <c r="I7">
        <f>SUM(C7:G7)</f>
        <v>378</v>
      </c>
      <c r="J7">
        <f>AVERAGE(C7:G7)</f>
        <v>75.599999999999994</v>
      </c>
      <c r="K7" t="str">
        <f>IF(AND(C7&gt;=50,D7&gt;=50,E7&gt;=50,F7&gt;=50,G7&gt;=50,OR(H7="A",H7="B",H7="C")),"Pass","Fail")</f>
        <v>Pass</v>
      </c>
      <c r="L7" t="str">
        <f>IF(AND(J7&gt;=75),"DISTINCTION","BELOW DISTINCTION")</f>
        <v>DISTINCTION</v>
      </c>
      <c r="M7">
        <v>6</v>
      </c>
      <c r="N7" t="str">
        <f t="shared" si="0"/>
        <v>2NDCLASS</v>
      </c>
    </row>
    <row r="8" spans="1:14" x14ac:dyDescent="0.3">
      <c r="A8" t="s">
        <v>13</v>
      </c>
      <c r="B8">
        <v>25070521178</v>
      </c>
      <c r="C8">
        <v>97</v>
      </c>
      <c r="D8">
        <v>50</v>
      </c>
      <c r="E8">
        <v>88</v>
      </c>
      <c r="F8">
        <v>69</v>
      </c>
      <c r="G8">
        <v>66</v>
      </c>
      <c r="H8" t="s">
        <v>32</v>
      </c>
      <c r="I8">
        <f>SUM(C8:G8)</f>
        <v>370</v>
      </c>
      <c r="J8">
        <f>AVERAGE(C8:G8)</f>
        <v>74</v>
      </c>
      <c r="K8" t="str">
        <f>IF(AND(C8&gt;=50,D8&gt;=50,E8&gt;=50,F8&gt;=50,G8&gt;=50,OR(H8="A",H8="B",H8="C")),"Pass","Fail")</f>
        <v>Pass</v>
      </c>
      <c r="L8" t="str">
        <f>IF(AND(J8&gt;=75),"DISTINCTION","BELOW DISTINCTION")</f>
        <v>BELOW DISTINCTION</v>
      </c>
      <c r="M8">
        <v>7</v>
      </c>
      <c r="N8" t="str">
        <f t="shared" si="0"/>
        <v>1ST CLASS</v>
      </c>
    </row>
    <row r="9" spans="1:14" x14ac:dyDescent="0.3">
      <c r="A9" t="s">
        <v>14</v>
      </c>
      <c r="B9">
        <v>25070521177</v>
      </c>
      <c r="C9">
        <v>67</v>
      </c>
      <c r="D9">
        <v>82</v>
      </c>
      <c r="E9">
        <v>76</v>
      </c>
      <c r="F9">
        <v>95</v>
      </c>
      <c r="G9">
        <v>47</v>
      </c>
      <c r="H9" t="s">
        <v>32</v>
      </c>
      <c r="I9">
        <f>SUM(C9:G9)</f>
        <v>367</v>
      </c>
      <c r="J9">
        <f>AVERAGE(C9:G9)</f>
        <v>73.400000000000006</v>
      </c>
      <c r="K9" t="str">
        <f>IF(AND(C9&gt;=50,D9&gt;=50,E9&gt;=50,F9&gt;=50,G9&gt;=50,OR(H9="A",H9="B",H9="C")),"Pass","Fail")</f>
        <v>Fail</v>
      </c>
      <c r="L9" t="str">
        <f>IF(AND(J9&gt;=75),"DISTINCTION","BELOW DISTINCTION")</f>
        <v>BELOW DISTINCTION</v>
      </c>
      <c r="M9">
        <v>8</v>
      </c>
      <c r="N9" t="str">
        <f t="shared" si="0"/>
        <v>1ST CLASS</v>
      </c>
    </row>
    <row r="10" spans="1:14" x14ac:dyDescent="0.3">
      <c r="A10" t="s">
        <v>15</v>
      </c>
      <c r="B10">
        <v>25070521173</v>
      </c>
      <c r="C10">
        <v>91</v>
      </c>
      <c r="D10">
        <v>87</v>
      </c>
      <c r="E10">
        <v>55</v>
      </c>
      <c r="F10">
        <v>89</v>
      </c>
      <c r="G10">
        <v>38</v>
      </c>
      <c r="H10" t="s">
        <v>34</v>
      </c>
      <c r="I10">
        <f>SUM(C10:G10)</f>
        <v>360</v>
      </c>
      <c r="J10">
        <f>AVERAGE(C10:G10)</f>
        <v>72</v>
      </c>
      <c r="K10" t="str">
        <f>IF(AND(C10&gt;=50,D10&gt;=50,E10&gt;=50,F10&gt;=50,G10&gt;=50,OR(H10="A",H10="B",H10="C")),"Pass","Fail")</f>
        <v>Fail</v>
      </c>
      <c r="L10" t="str">
        <f>IF(AND(J10&gt;=75),"DISTINCTION","BELOW DISTINCTION")</f>
        <v>BELOW DISTINCTION</v>
      </c>
      <c r="M10">
        <v>9</v>
      </c>
      <c r="N10" t="str">
        <f t="shared" si="0"/>
        <v>1ST CLASS</v>
      </c>
    </row>
    <row r="11" spans="1:14" x14ac:dyDescent="0.3">
      <c r="A11" t="s">
        <v>16</v>
      </c>
      <c r="B11">
        <v>25070521174</v>
      </c>
      <c r="C11">
        <v>50</v>
      </c>
      <c r="D11">
        <v>55</v>
      </c>
      <c r="E11">
        <v>99</v>
      </c>
      <c r="F11">
        <v>68</v>
      </c>
      <c r="G11">
        <v>87</v>
      </c>
      <c r="H11" t="s">
        <v>32</v>
      </c>
      <c r="I11">
        <f>SUM(C11:G11)</f>
        <v>359</v>
      </c>
      <c r="J11">
        <f>AVERAGE(C11:G11)</f>
        <v>71.8</v>
      </c>
      <c r="K11" t="str">
        <f>IF(AND(C11&gt;=50,D11&gt;=50,E11&gt;=50,F11&gt;=50,G11&gt;=50,OR(H11="A",H11="B",H11="C")),"Pass","Fail")</f>
        <v>Pass</v>
      </c>
      <c r="L11" t="str">
        <f>IF(AND(J11&gt;=75),"DISTINCTION","BELOW DISTINCTION")</f>
        <v>BELOW DISTINCTION</v>
      </c>
      <c r="M11">
        <v>10</v>
      </c>
      <c r="N11" t="str">
        <f t="shared" si="0"/>
        <v>1ST CLASS</v>
      </c>
    </row>
    <row r="12" spans="1:14" x14ac:dyDescent="0.3">
      <c r="A12" t="s">
        <v>17</v>
      </c>
      <c r="B12">
        <v>25070521162</v>
      </c>
      <c r="C12">
        <v>86</v>
      </c>
      <c r="D12">
        <v>36</v>
      </c>
      <c r="E12">
        <v>69</v>
      </c>
      <c r="F12">
        <v>74</v>
      </c>
      <c r="G12">
        <v>80</v>
      </c>
      <c r="H12" t="s">
        <v>33</v>
      </c>
      <c r="I12">
        <f>SUM(C12:G12)</f>
        <v>345</v>
      </c>
      <c r="J12">
        <f>AVERAGE(C12:G12)</f>
        <v>69</v>
      </c>
      <c r="K12" t="str">
        <f>IF(AND(C12&gt;=50,D12&gt;=50,E12&gt;=50,F12&gt;=50,G12&gt;=50,OR(H12="A",H12="B",H12="C")),"Pass","Fail")</f>
        <v>Fail</v>
      </c>
      <c r="L12" t="str">
        <f>IF(AND(J12&gt;=75),"DISTINCTION","BELOW DISTINCTION")</f>
        <v>BELOW DISTINCTION</v>
      </c>
      <c r="M12">
        <v>11</v>
      </c>
      <c r="N12" t="str">
        <f t="shared" si="0"/>
        <v>1ST CLASS</v>
      </c>
    </row>
    <row r="13" spans="1:14" x14ac:dyDescent="0.3">
      <c r="A13" t="s">
        <v>18</v>
      </c>
      <c r="B13">
        <v>25070521166</v>
      </c>
      <c r="C13">
        <v>38</v>
      </c>
      <c r="D13">
        <v>87</v>
      </c>
      <c r="E13">
        <v>88</v>
      </c>
      <c r="F13">
        <v>85</v>
      </c>
      <c r="G13">
        <v>43</v>
      </c>
      <c r="H13" t="s">
        <v>32</v>
      </c>
      <c r="I13">
        <f>SUM(C13:G13)</f>
        <v>341</v>
      </c>
      <c r="J13">
        <f>AVERAGE(C13:G13)</f>
        <v>68.2</v>
      </c>
      <c r="K13" t="str">
        <f>IF(AND(C13&gt;=50,D13&gt;=50,E13&gt;=50,F13&gt;=50,G13&gt;=50,OR(H13="A",H13="B",H13="C")),"Pass","Fail")</f>
        <v>Fail</v>
      </c>
      <c r="L13" t="str">
        <f>IF(AND(J13&gt;=75),"DISTINCTION","BELOW DISTINCTION")</f>
        <v>BELOW DISTINCTION</v>
      </c>
      <c r="M13">
        <v>12</v>
      </c>
      <c r="N13" t="str">
        <f t="shared" si="0"/>
        <v>1ST CLASS</v>
      </c>
    </row>
    <row r="14" spans="1:14" x14ac:dyDescent="0.3">
      <c r="A14" t="s">
        <v>19</v>
      </c>
      <c r="B14">
        <v>25070521167</v>
      </c>
      <c r="C14">
        <v>64</v>
      </c>
      <c r="D14">
        <v>93</v>
      </c>
      <c r="E14">
        <v>40</v>
      </c>
      <c r="F14">
        <v>89</v>
      </c>
      <c r="G14">
        <v>54</v>
      </c>
      <c r="H14" t="s">
        <v>32</v>
      </c>
      <c r="I14">
        <f>SUM(C14:G14)</f>
        <v>340</v>
      </c>
      <c r="J14">
        <f>AVERAGE(C14:G14)</f>
        <v>68</v>
      </c>
      <c r="K14" t="str">
        <f>IF(AND(C14&gt;=50,D14&gt;=50,E14&gt;=50,F14&gt;=50,G14&gt;=50,OR(H14="A",H14="B",H14="C")),"Pass","Fail")</f>
        <v>Fail</v>
      </c>
      <c r="L14" t="str">
        <f>IF(AND(J14&gt;=75),"DISTINCTION","BELOW DISTINCTION")</f>
        <v>BELOW DISTINCTION</v>
      </c>
      <c r="M14">
        <v>13</v>
      </c>
      <c r="N14" t="str">
        <f t="shared" si="0"/>
        <v>1ST CLASS</v>
      </c>
    </row>
    <row r="15" spans="1:14" x14ac:dyDescent="0.3">
      <c r="A15" t="s">
        <v>20</v>
      </c>
      <c r="B15">
        <v>25070521180</v>
      </c>
      <c r="C15">
        <v>79</v>
      </c>
      <c r="D15">
        <v>84</v>
      </c>
      <c r="E15">
        <v>57</v>
      </c>
      <c r="F15">
        <v>38</v>
      </c>
      <c r="G15">
        <v>54</v>
      </c>
      <c r="H15" t="s">
        <v>32</v>
      </c>
      <c r="I15">
        <f>SUM(C15:G15)</f>
        <v>312</v>
      </c>
      <c r="J15">
        <f>AVERAGE(C15:G15)</f>
        <v>62.4</v>
      </c>
      <c r="K15" t="str">
        <f>IF(AND(C15&gt;=50,D15&gt;=50,E15&gt;=50,F15&gt;=50,G15&gt;=50,OR(H15="A",H15="B",H15="C")),"Pass","Fail")</f>
        <v>Fail</v>
      </c>
      <c r="L15" t="str">
        <f>IF(AND(J15&gt;=75),"DISTINCTION","BELOW DISTINCTION")</f>
        <v>BELOW DISTINCTION</v>
      </c>
      <c r="M15">
        <v>14</v>
      </c>
      <c r="N15" t="str">
        <f t="shared" si="0"/>
        <v>2NDCLASS</v>
      </c>
    </row>
    <row r="16" spans="1:14" x14ac:dyDescent="0.3">
      <c r="A16" t="s">
        <v>21</v>
      </c>
      <c r="B16">
        <v>25070521170</v>
      </c>
      <c r="C16">
        <v>62</v>
      </c>
      <c r="D16">
        <v>74</v>
      </c>
      <c r="E16">
        <v>35</v>
      </c>
      <c r="F16">
        <v>59</v>
      </c>
      <c r="G16">
        <v>59</v>
      </c>
      <c r="H16" t="s">
        <v>33</v>
      </c>
      <c r="I16">
        <f>SUM(C16:G16)</f>
        <v>289</v>
      </c>
      <c r="J16">
        <f>AVERAGE(C16:G16)</f>
        <v>57.8</v>
      </c>
      <c r="K16" t="str">
        <f>IF(AND(C16&gt;=50,D16&gt;=50,E16&gt;=50,F16&gt;=50,G16&gt;=50,OR(H16="A",H16="B",H16="C")),"Pass","Fail")</f>
        <v>Fail</v>
      </c>
      <c r="L16" t="str">
        <f>IF(AND(J16&gt;=75),"DISTINCTION","BELOW DISTINCTION")</f>
        <v>BELOW DISTINCTION</v>
      </c>
      <c r="M16">
        <v>15</v>
      </c>
      <c r="N16" t="str">
        <f t="shared" si="0"/>
        <v>2NDCLASS</v>
      </c>
    </row>
    <row r="17" spans="1:14" x14ac:dyDescent="0.3">
      <c r="A17" t="s">
        <v>22</v>
      </c>
      <c r="B17">
        <v>25070521169</v>
      </c>
      <c r="C17">
        <v>47</v>
      </c>
      <c r="D17">
        <v>41</v>
      </c>
      <c r="E17">
        <v>57</v>
      </c>
      <c r="F17">
        <v>66</v>
      </c>
      <c r="G17">
        <v>77</v>
      </c>
      <c r="H17" t="s">
        <v>34</v>
      </c>
      <c r="I17">
        <f>SUM(C17:G17)</f>
        <v>288</v>
      </c>
      <c r="J17">
        <f>AVERAGE(C17:G17)</f>
        <v>57.6</v>
      </c>
      <c r="K17" t="str">
        <f>IF(AND(C17&gt;=50,D17&gt;=50,E17&gt;=50,F17&gt;=50,G17&gt;=50,OR(H17="A",H17="B",H17="C")),"Pass","Fail")</f>
        <v>Fail</v>
      </c>
      <c r="L17" t="str">
        <f>IF(AND(J17&gt;=75),"DISTINCTION","BELOW DISTINCTION")</f>
        <v>BELOW DISTINCTION</v>
      </c>
      <c r="M17">
        <v>16</v>
      </c>
      <c r="N17" t="str">
        <f t="shared" si="0"/>
        <v>2NDCLASS</v>
      </c>
    </row>
    <row r="18" spans="1:14" x14ac:dyDescent="0.3">
      <c r="A18" t="s">
        <v>23</v>
      </c>
      <c r="B18">
        <v>25070521179</v>
      </c>
      <c r="C18">
        <v>49</v>
      </c>
      <c r="D18">
        <v>36</v>
      </c>
      <c r="E18">
        <v>46</v>
      </c>
      <c r="F18">
        <v>79</v>
      </c>
      <c r="G18">
        <v>67</v>
      </c>
      <c r="H18" t="s">
        <v>32</v>
      </c>
      <c r="I18">
        <f>SUM(C18:G18)</f>
        <v>277</v>
      </c>
      <c r="J18">
        <f>AVERAGE(C18:G18)</f>
        <v>55.4</v>
      </c>
      <c r="K18" t="str">
        <f>IF(AND(C18&gt;=50,D18&gt;=50,E18&gt;=50,F18&gt;=50,G18&gt;=50,OR(H18="A",H18="B",H18="C")),"Pass","Fail")</f>
        <v>Fail</v>
      </c>
      <c r="L18" t="str">
        <f>IF(AND(J18&gt;=75),"DISTINCTION","BELOW DISTINCTION")</f>
        <v>BELOW DISTINCTION</v>
      </c>
      <c r="M18">
        <v>17</v>
      </c>
      <c r="N18" t="str">
        <f t="shared" si="0"/>
        <v>2NDCLASS</v>
      </c>
    </row>
    <row r="19" spans="1:14" x14ac:dyDescent="0.3">
      <c r="A19" t="s">
        <v>24</v>
      </c>
      <c r="B19">
        <v>25070521163</v>
      </c>
      <c r="C19">
        <v>60</v>
      </c>
      <c r="D19">
        <v>39</v>
      </c>
      <c r="E19">
        <v>81</v>
      </c>
      <c r="F19">
        <v>51</v>
      </c>
      <c r="G19">
        <v>42</v>
      </c>
      <c r="H19" t="s">
        <v>32</v>
      </c>
      <c r="I19">
        <f>SUM(C19:G19)</f>
        <v>273</v>
      </c>
      <c r="J19">
        <f>AVERAGE(C19:G19)</f>
        <v>54.6</v>
      </c>
      <c r="K19" t="str">
        <f>IF(AND(C19&gt;=50,D19&gt;=50,E19&gt;=50,F19&gt;=50,G19&gt;=50,OR(H19="A",H19="B",H19="C")),"Pass","Fail")</f>
        <v>Fail</v>
      </c>
      <c r="L19" t="str">
        <f>IF(AND(J19&gt;=75),"DISTINCTION","BELOW DISTINCTION")</f>
        <v>BELOW DISTINCTION</v>
      </c>
      <c r="M19">
        <v>18</v>
      </c>
      <c r="N19" t="str">
        <f t="shared" si="0"/>
        <v>2NDCLASS</v>
      </c>
    </row>
    <row r="20" spans="1:14" x14ac:dyDescent="0.3">
      <c r="A20" t="s">
        <v>25</v>
      </c>
      <c r="B20">
        <v>25070521164</v>
      </c>
      <c r="C20">
        <v>37</v>
      </c>
      <c r="D20">
        <v>53</v>
      </c>
      <c r="E20">
        <v>49</v>
      </c>
      <c r="F20">
        <v>63</v>
      </c>
      <c r="G20">
        <v>57</v>
      </c>
      <c r="H20" t="s">
        <v>32</v>
      </c>
      <c r="I20">
        <f>SUM(C20:G20)</f>
        <v>259</v>
      </c>
      <c r="J20">
        <f>AVERAGE(C20:G20)</f>
        <v>51.8</v>
      </c>
      <c r="K20" t="str">
        <f>IF(AND(C20&gt;=50,D20&gt;=50,E20&gt;=50,F20&gt;=50,G20&gt;=50,OR(H20="A",H20="B",H20="C")),"Pass","Fail")</f>
        <v>Fail</v>
      </c>
      <c r="L20" t="str">
        <f>IF(AND(J20&gt;=75),"DISTINCTION","BELOW DISTINCTION")</f>
        <v>BELOW DISTINCTION</v>
      </c>
      <c r="M20">
        <v>19</v>
      </c>
      <c r="N20" t="str">
        <f t="shared" si="0"/>
        <v>2NDCLASS</v>
      </c>
    </row>
    <row r="21" spans="1:14" x14ac:dyDescent="0.3">
      <c r="A21" t="s">
        <v>26</v>
      </c>
      <c r="B21">
        <v>25070521165</v>
      </c>
      <c r="C21">
        <v>46</v>
      </c>
      <c r="D21">
        <v>42</v>
      </c>
      <c r="E21">
        <v>69</v>
      </c>
      <c r="F21">
        <v>55</v>
      </c>
      <c r="G21">
        <v>38</v>
      </c>
      <c r="H21" t="s">
        <v>32</v>
      </c>
      <c r="I21">
        <f>SUM(C21:G21)</f>
        <v>250</v>
      </c>
      <c r="J21">
        <f>AVERAGE(C21:G21)</f>
        <v>50</v>
      </c>
      <c r="K21" t="str">
        <f>IF(AND(C21&gt;=50,D21&gt;=50,E21&gt;=50,F21&gt;=50,G21&gt;=50,OR(H21="A",H21="B",H21="C")),"Pass","Fail")</f>
        <v>Fail</v>
      </c>
      <c r="L21" t="str">
        <f>IF(AND(J21&gt;=75),"DISTINCTION","BELOW DISTINCTION")</f>
        <v>BELOW DISTINCTION</v>
      </c>
      <c r="M21">
        <v>20</v>
      </c>
      <c r="N21" t="str">
        <f t="shared" si="0"/>
        <v>2NDCLASS</v>
      </c>
    </row>
    <row r="22" spans="1:14" x14ac:dyDescent="0.3">
      <c r="L22">
        <f>COUNTIF(L2:L21,"DISTINCTION")</f>
        <v>6</v>
      </c>
    </row>
  </sheetData>
  <autoFilter ref="A1:M22" xr:uid="{00000000-0001-0000-0000-000000000000}"/>
  <sortState xmlns:xlrd2="http://schemas.microsoft.com/office/spreadsheetml/2017/richdata2" ref="B2:L22">
    <sortCondition descending="1" ref="I2:I22"/>
  </sortState>
  <conditionalFormatting sqref="K1:K2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21">
    <cfRule type="cellIs" dxfId="18" priority="10" operator="equal">
      <formula>"FAIL"</formula>
    </cfRule>
    <cfRule type="cellIs" dxfId="17" priority="9" operator="equal">
      <formula>"PASS"</formula>
    </cfRule>
  </conditionalFormatting>
  <conditionalFormatting sqref="L2:L21">
    <cfRule type="cellIs" dxfId="16" priority="8" operator="equal">
      <formula>"DISTINCTION"</formula>
    </cfRule>
  </conditionalFormatting>
  <conditionalFormatting sqref="L8:L21">
    <cfRule type="cellIs" dxfId="15" priority="7" operator="equal">
      <formula>"BELOW DISTINCTION"</formula>
    </cfRule>
  </conditionalFormatting>
  <conditionalFormatting sqref="M2:M21">
    <cfRule type="cellIs" dxfId="2" priority="6" operator="equal">
      <formula>10.5</formula>
    </cfRule>
    <cfRule type="cellIs" dxfId="1" priority="2" operator="equal">
      <formula>10.5</formula>
    </cfRule>
    <cfRule type="cellIs" dxfId="0" priority="1" operator="equal">
      <formula>10.5</formula>
    </cfRule>
  </conditionalFormatting>
  <conditionalFormatting sqref="H2:H21">
    <cfRule type="cellIs" dxfId="14" priority="5" operator="equal">
      <formula>"A"</formula>
    </cfRule>
    <cfRule type="cellIs" dxfId="13" priority="4" operator="equal">
      <formula>"B"</formula>
    </cfRule>
    <cfRule type="cellIs" dxfId="12" priority="3" operator="equal">
      <formula>"C"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Shravani Girde</dc:creator>
  <cp:lastModifiedBy>Shravani Girde</cp:lastModifiedBy>
  <dcterms:created xsi:type="dcterms:W3CDTF">2025-10-02T08:54:11Z</dcterms:created>
  <dcterms:modified xsi:type="dcterms:W3CDTF">2025-10-08T12:18:18Z</dcterms:modified>
</cp:coreProperties>
</file>